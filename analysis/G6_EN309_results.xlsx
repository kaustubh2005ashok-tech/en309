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" sheetId="2" state="visible" r:id="rId2"/>
    <sheet name="Profiles" sheetId="3" state="visible" r:id="rId3"/>
    <sheet name="Fit summary" sheetId="4" state="visible" r:id="rId4"/>
    <sheet name="Linearity &amp; collapse" sheetId="5" state="visible" r:id="rId5"/>
    <sheet name="Plo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b val="1"/>
    </font>
    <font>
      <name val="Arial"/>
      <i val="1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2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0" fontId="6" fillId="0" borderId="0" applyAlignment="1" pivotButton="0" quotePrefix="0" xfId="0">
      <alignment vertical="top" wrapText="1"/>
    </xf>
    <xf numFmtId="0" fontId="4" fillId="0" borderId="1" pivotButton="0" quotePrefix="0" xfId="0"/>
    <xf numFmtId="0" fontId="5" fillId="0" borderId="0" pivotButton="0" quotePrefix="0" xfId="0"/>
    <xf numFmtId="2" fontId="4" fillId="0" borderId="1" pivotButton="0" quotePrefix="0" xfId="0"/>
    <xf numFmtId="0" fontId="6" fillId="0" borderId="0" pivotButton="0" quotePrefix="0" xfId="0"/>
    <xf numFmtId="1" fontId="3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10715625" cy="4114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2" customWidth="1" min="4" max="4"/>
  </cols>
  <sheetData>
    <row r="1">
      <c r="A1" s="1" t="inlineStr">
        <is>
          <t>EN309 G6 Couette PIV: summary of results</t>
        </is>
      </c>
    </row>
    <row r="3">
      <c r="A3" s="2" t="inlineStr">
        <is>
          <t>Result</t>
        </is>
      </c>
      <c r="B3" s="2" t="inlineStr">
        <is>
          <t>Run 1</t>
        </is>
      </c>
      <c r="C3" s="2" t="inlineStr">
        <is>
          <t>Run 2</t>
        </is>
      </c>
      <c r="D3" s="2" t="inlineStr">
        <is>
          <t>Unit</t>
        </is>
      </c>
    </row>
    <row r="4">
      <c r="A4" s="3" t="inlineStr">
        <is>
          <t>Set speed</t>
        </is>
      </c>
      <c r="B4" s="4">
        <f>Parameters!B17</f>
        <v/>
      </c>
      <c r="C4" s="4">
        <f>Parameters!B18</f>
        <v/>
      </c>
      <c r="D4" s="3" t="inlineStr">
        <is>
          <t>rpm</t>
        </is>
      </c>
    </row>
    <row r="5">
      <c r="A5" s="3" t="inlineStr">
        <is>
          <t>Set Ω</t>
        </is>
      </c>
      <c r="B5" s="5">
        <f>'Fit summary'!B4</f>
        <v/>
      </c>
      <c r="C5" s="5">
        <f>'Fit summary'!C4</f>
        <v/>
      </c>
      <c r="D5" s="3" t="inlineStr">
        <is>
          <t>rad/s</t>
        </is>
      </c>
    </row>
    <row r="6">
      <c r="A6" s="3" t="inlineStr">
        <is>
          <t>ω_eff, block mean</t>
        </is>
      </c>
      <c r="B6" s="5">
        <f>'Fit summary'!B6</f>
        <v/>
      </c>
      <c r="C6" s="5">
        <f>'Fit summary'!C6</f>
        <v/>
      </c>
      <c r="D6" s="3" t="inlineStr">
        <is>
          <t>rad/s</t>
        </is>
      </c>
    </row>
    <row r="7">
      <c r="A7" s="3" t="inlineStr">
        <is>
          <t>ω_eff, block SD</t>
        </is>
      </c>
      <c r="B7" s="5">
        <f>'Fit summary'!B7</f>
        <v/>
      </c>
      <c r="C7" s="5">
        <f>'Fit summary'!C7</f>
        <v/>
      </c>
      <c r="D7" s="3" t="inlineStr">
        <is>
          <t>rad/s</t>
        </is>
      </c>
    </row>
    <row r="8">
      <c r="A8" s="3" t="inlineStr">
        <is>
          <t>ω_eff / Ω_set</t>
        </is>
      </c>
      <c r="B8" s="6">
        <f>'Fit summary'!B9</f>
        <v/>
      </c>
      <c r="C8" s="6">
        <f>'Fit summary'!C9</f>
        <v/>
      </c>
      <c r="D8" s="3" t="inlineStr">
        <is>
          <t>–</t>
        </is>
      </c>
    </row>
    <row r="9">
      <c r="A9" s="3" t="inlineStr">
        <is>
          <t>Drift over run</t>
        </is>
      </c>
      <c r="B9" s="7">
        <f>'Fit summary'!B10</f>
        <v/>
      </c>
      <c r="C9" s="7">
        <f>'Fit summary'!C10</f>
        <v/>
      </c>
      <c r="D9" s="3" t="inlineStr">
        <is>
          <t>% of mean</t>
        </is>
      </c>
    </row>
    <row r="10">
      <c r="A10" s="3" t="inlineStr">
        <is>
          <t>ω_eff, averaged field</t>
        </is>
      </c>
      <c r="B10" s="5">
        <f>'Fit summary'!B5</f>
        <v/>
      </c>
      <c r="C10" s="5">
        <f>'Fit summary'!C5</f>
        <v/>
      </c>
      <c r="D10" s="3" t="inlineStr">
        <is>
          <t>rad/s</t>
        </is>
      </c>
    </row>
    <row r="11">
      <c r="A11" s="3" t="inlineStr">
        <is>
          <t>Radial shift to fit wall position</t>
        </is>
      </c>
      <c r="B11" s="4">
        <f>'Fit summary'!B14</f>
        <v/>
      </c>
      <c r="C11" s="4">
        <f>'Fit summary'!C14</f>
        <v/>
      </c>
      <c r="D11" s="3" t="inlineStr">
        <is>
          <t>mm</t>
        </is>
      </c>
    </row>
    <row r="12">
      <c r="A12" s="3" t="inlineStr">
        <is>
          <t>Couette fit R²</t>
        </is>
      </c>
      <c r="B12" s="5">
        <f>'Linearity &amp; collapse'!B4</f>
        <v/>
      </c>
      <c r="C12" s="5">
        <f>'Linearity &amp; collapse'!C4</f>
        <v/>
      </c>
      <c r="D12" s="3" t="inlineStr">
        <is>
          <t>–</t>
        </is>
      </c>
    </row>
    <row r="13">
      <c r="A13" s="3" t="inlineStr">
        <is>
          <t>Couette fit RMSE</t>
        </is>
      </c>
      <c r="B13" s="5">
        <f>'Linearity &amp; collapse'!B5</f>
        <v/>
      </c>
      <c r="C13" s="5">
        <f>'Linearity &amp; collapse'!C5</f>
        <v/>
      </c>
      <c r="D13" s="3" t="inlineStr">
        <is>
          <t>mm/s</t>
        </is>
      </c>
    </row>
    <row r="14">
      <c r="A14" s="3" t="inlineStr">
        <is>
          <t>Linear fit R²</t>
        </is>
      </c>
      <c r="B14" s="5">
        <f>'Linearity &amp; collapse'!B6</f>
        <v/>
      </c>
      <c r="C14" s="5">
        <f>'Linearity &amp; collapse'!C6</f>
        <v/>
      </c>
      <c r="D14" s="3" t="inlineStr">
        <is>
          <t>–</t>
        </is>
      </c>
    </row>
    <row r="15">
      <c r="A15" s="3" t="inlineStr">
        <is>
          <t>Linear fit RMSE</t>
        </is>
      </c>
      <c r="B15" s="5">
        <f>'Linearity &amp; collapse'!B7</f>
        <v/>
      </c>
      <c r="C15" s="5">
        <f>'Linearity &amp; collapse'!C7</f>
        <v/>
      </c>
      <c r="D15" s="3" t="inlineStr">
        <is>
          <t>mm/s</t>
        </is>
      </c>
    </row>
    <row r="16">
      <c r="A16" s="3" t="inlineStr">
        <is>
          <t>Collapse spread, u/Ω_set (both runs)</t>
        </is>
      </c>
      <c r="B16" s="7">
        <f>'Linearity &amp; collapse'!B16</f>
        <v/>
      </c>
      <c r="C16" s="7" t="n"/>
      <c r="D16" s="3" t="inlineStr">
        <is>
          <t>%</t>
        </is>
      </c>
    </row>
    <row r="17">
      <c r="A17" s="3" t="inlineStr">
        <is>
          <t>Collapse spread, u/ω_eff (both runs)</t>
        </is>
      </c>
      <c r="B17" s="7">
        <f>'Linearity &amp; collapse'!B17</f>
        <v/>
      </c>
      <c r="C17" s="7" t="n"/>
      <c r="D17" s="3" t="inlineStr">
        <is>
          <t>%</t>
        </is>
      </c>
    </row>
    <row r="19">
      <c r="A19" s="8" t="inlineStr">
        <is>
          <t>Viscosity is not computed: the outer cylinder is fixed, so there is no torque reading. The profile shape matches Couette flow, but the speed is below the set rpm in both runs.</t>
        </is>
      </c>
    </row>
    <row r="20"/>
    <row r="21"/>
  </sheetData>
  <mergeCells count="1">
    <mergeCell ref="A19:D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14" customWidth="1" min="3" max="3"/>
    <col width="60" customWidth="1" min="4" max="4"/>
    <col width="20" customWidth="1" min="5" max="5"/>
  </cols>
  <sheetData>
    <row r="1">
      <c r="A1" s="1" t="inlineStr">
        <is>
          <t>EN309 G6: Couette viscometer, PIV analysis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Unit</t>
        </is>
      </c>
      <c r="D3" s="2" t="inlineStr">
        <is>
          <t>Source / note</t>
        </is>
      </c>
    </row>
    <row r="4">
      <c r="A4" s="3" t="inlineStr">
        <is>
          <t>Fluid</t>
        </is>
      </c>
      <c r="B4" s="3" t="inlineStr">
        <is>
          <t>88:12 glycerine:water (wt%, assumed)</t>
        </is>
      </c>
      <c r="C4" s="3" t="inlineStr"/>
      <c r="D4" s="3" t="inlineStr">
        <is>
          <t>user</t>
        </is>
      </c>
    </row>
    <row r="5">
      <c r="A5" s="3" t="inlineStr">
        <is>
          <t>Temperature</t>
        </is>
      </c>
      <c r="B5" s="9" t="n">
        <v>24</v>
      </c>
      <c r="C5" s="3" t="inlineStr">
        <is>
          <t>°C</t>
        </is>
      </c>
      <c r="D5" s="3" t="inlineStr">
        <is>
          <t>approx.</t>
        </is>
      </c>
    </row>
    <row r="6">
      <c r="A6" s="3" t="inlineStr">
        <is>
          <t>Reference viscosity (not used)</t>
        </is>
      </c>
      <c r="B6" s="9" t="n">
        <v>126</v>
      </c>
      <c r="C6" s="3" t="inlineStr">
        <is>
          <t>mPa·s</t>
        </is>
      </c>
      <c r="D6" s="3" t="inlineStr">
        <is>
          <t>Cheng 2008, assumes wt%; mixing may have been by parts/volume. No torque, so μ is not computed</t>
        </is>
      </c>
    </row>
    <row r="7">
      <c r="A7" s="3" t="inlineStr">
        <is>
          <t>Density</t>
        </is>
      </c>
      <c r="B7" s="9" t="n">
        <v>1230</v>
      </c>
      <c r="C7" s="3" t="inlineStr">
        <is>
          <t>kg/m³</t>
        </is>
      </c>
      <c r="D7" s="3" t="inlineStr">
        <is>
          <t>approx. for 88 wt% glycerine</t>
        </is>
      </c>
    </row>
    <row r="8">
      <c r="A8" s="3" t="inlineStr">
        <is>
          <t>Inner (rotating) radius R1</t>
        </is>
      </c>
      <c r="B8" s="9" t="n">
        <v>6</v>
      </c>
      <c r="C8" s="3" t="inlineStr">
        <is>
          <t>mm</t>
        </is>
      </c>
      <c r="D8" s="3" t="inlineStr">
        <is>
          <t>Inner_cylinder.step</t>
        </is>
      </c>
    </row>
    <row r="9">
      <c r="A9" s="3" t="inlineStr">
        <is>
          <t>Outer (fixed) radius R2</t>
        </is>
      </c>
      <c r="B9" s="9" t="n">
        <v>11</v>
      </c>
      <c r="C9" s="3" t="inlineStr">
        <is>
          <t>mm</t>
        </is>
      </c>
      <c r="D9" s="3" t="inlineStr">
        <is>
          <t>Outer_cylinder.step</t>
        </is>
      </c>
    </row>
    <row r="10">
      <c r="A10" s="3" t="inlineStr">
        <is>
          <t>Inner cylinder length</t>
        </is>
      </c>
      <c r="B10" s="9" t="n">
        <v>60</v>
      </c>
      <c r="C10" s="3" t="inlineStr">
        <is>
          <t>mm</t>
        </is>
      </c>
      <c r="D10" s="3" t="inlineStr">
        <is>
          <t>Inner_cylinder.step</t>
        </is>
      </c>
    </row>
    <row r="11">
      <c r="A11" s="3" t="inlineStr">
        <is>
          <t>Camera frame rate</t>
        </is>
      </c>
      <c r="B11" s="9" t="n">
        <v>100</v>
      </c>
      <c r="C11" s="3" t="inlineStr">
        <is>
          <t>fps</t>
        </is>
      </c>
      <c r="D11" s="3" t="inlineStr">
        <is>
          <t>Phantom VEO 710L</t>
        </is>
      </c>
    </row>
    <row r="12">
      <c r="A12" s="3" t="inlineStr">
        <is>
          <t>Image scale</t>
        </is>
      </c>
      <c r="B12" s="9" t="n">
        <v>161.9</v>
      </c>
      <c r="C12" s="3" t="inlineStr">
        <is>
          <t>px/mm</t>
        </is>
      </c>
      <c r="D12" s="3" t="inlineStr">
        <is>
          <t>calibration grid, assumed 1 mm squares</t>
        </is>
      </c>
    </row>
    <row r="13">
      <c r="A13" s="3" t="inlineStr">
        <is>
          <t>PIV window / grid</t>
        </is>
      </c>
      <c r="B13" s="3" t="inlineStr">
        <is>
          <t>64 px / 32 px</t>
        </is>
      </c>
      <c r="C13" s="3" t="inlineStr"/>
      <c r="D13" s="3" t="inlineStr">
        <is>
          <t>ensemble correlation, dt = 3 frames</t>
        </is>
      </c>
    </row>
    <row r="15">
      <c r="A15" s="10" t="inlineStr">
        <is>
          <t>Runs</t>
        </is>
      </c>
    </row>
    <row r="16">
      <c r="A16" s="2" t="inlineStr">
        <is>
          <t>Run</t>
        </is>
      </c>
      <c r="B16" s="2" t="inlineStr">
        <is>
          <t>Set speed [rpm]</t>
        </is>
      </c>
      <c r="C16" s="2" t="inlineStr">
        <is>
          <t>Set ω [rad/s]</t>
        </is>
      </c>
      <c r="D16" s="2" t="inlineStr">
        <is>
          <t>Frames</t>
        </is>
      </c>
      <c r="E16" s="2" t="inlineStr">
        <is>
          <t>Blocks</t>
        </is>
      </c>
    </row>
    <row r="17">
      <c r="A17" s="3" t="inlineStr">
        <is>
          <t>Run 1</t>
        </is>
      </c>
      <c r="B17" s="11" t="n">
        <v>2.14</v>
      </c>
      <c r="C17" s="5">
        <f>B17*2*PI()/60</f>
        <v/>
      </c>
      <c r="D17" s="3" t="n">
        <v>4001</v>
      </c>
      <c r="E17" s="3" t="inlineStr">
        <is>
          <t>4 × 1000 (step 3)</t>
        </is>
      </c>
    </row>
    <row r="18">
      <c r="A18" s="3" t="inlineStr">
        <is>
          <t>Run 2</t>
        </is>
      </c>
      <c r="B18" s="11" t="n">
        <v>4.3</v>
      </c>
      <c r="C18" s="5">
        <f>B18*2*PI()/60</f>
        <v/>
      </c>
      <c r="D18" s="3" t="n">
        <v>2501</v>
      </c>
      <c r="E18" s="3" t="inlineStr">
        <is>
          <t>4 × 625 (step 2)</t>
        </is>
      </c>
    </row>
    <row r="20">
      <c r="A20" s="12" t="inlineStr">
        <is>
          <t>Blue = input, black = formula. Slight leaks occurred during both runs.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1" customWidth="1" min="4" max="4"/>
    <col width="18" customWidth="1" min="5" max="5"/>
    <col width="10" customWidth="1" min="7" max="7"/>
    <col width="13" customWidth="1" min="8" max="8"/>
    <col width="11" customWidth="1" min="9" max="9"/>
    <col width="11" customWidth="1" min="10" max="10"/>
    <col width="18" customWidth="1" min="11" max="11"/>
  </cols>
  <sheetData>
    <row r="1">
      <c r="A1" s="10" t="inlineStr">
        <is>
          <t>Binned azimuthal velocity u_θ(r), averaged field of all frames</t>
        </is>
      </c>
    </row>
    <row r="3">
      <c r="A3" s="10" t="inlineStr">
        <is>
          <t>Run 1 (2.14 rpm)</t>
        </is>
      </c>
      <c r="G3" s="10" t="inlineStr">
        <is>
          <t>Run 2 (4.3 rpm)</t>
        </is>
      </c>
    </row>
    <row r="4">
      <c r="A4" s="2" t="inlineStr">
        <is>
          <t>r [mm]</t>
        </is>
      </c>
      <c r="B4" s="2" t="inlineStr">
        <is>
          <t>u_θ [mm/s]</t>
        </is>
      </c>
      <c r="C4" s="2" t="inlineStr">
        <is>
          <t>SD [mm/s]</t>
        </is>
      </c>
      <c r="D4" s="2" t="inlineStr">
        <is>
          <t>N vectors</t>
        </is>
      </c>
      <c r="E4" s="2" t="inlineStr">
        <is>
          <t>Couette fit [mm/s]</t>
        </is>
      </c>
      <c r="G4" s="2" t="inlineStr">
        <is>
          <t>r [mm]</t>
        </is>
      </c>
      <c r="H4" s="2" t="inlineStr">
        <is>
          <t>u_θ [mm/s]</t>
        </is>
      </c>
      <c r="I4" s="2" t="inlineStr">
        <is>
          <t>SD [mm/s]</t>
        </is>
      </c>
      <c r="J4" s="2" t="inlineStr">
        <is>
          <t>N vectors</t>
        </is>
      </c>
      <c r="K4" s="2" t="inlineStr">
        <is>
          <t>Couette fit [mm/s]</t>
        </is>
      </c>
    </row>
    <row r="5">
      <c r="A5" s="6" t="n">
        <v>6.074352984799654</v>
      </c>
      <c r="B5" s="5" t="n">
        <v>0.9210976533771694</v>
      </c>
      <c r="C5" s="5" t="n">
        <v>0.02671892691769108</v>
      </c>
      <c r="D5" s="13" t="n">
        <v>40</v>
      </c>
      <c r="E5" s="5">
        <f>'Fit summary'!B5*(Parameters!$B$8^2*Parameters!$B$9^2/A5-Parameters!$B$8^2*A5)/(Parameters!$B$9^2-Parameters!$B$8^2)</f>
        <v/>
      </c>
      <c r="G5" s="6" t="n">
        <v>6.654385569756986</v>
      </c>
      <c r="H5" s="5" t="n">
        <v>1.570880376341859</v>
      </c>
      <c r="I5" s="5" t="n">
        <v>0.1459381029901119</v>
      </c>
      <c r="J5" s="13" t="n">
        <v>33</v>
      </c>
      <c r="K5" s="5">
        <f>'Fit summary'!C5*(Parameters!$B$8^2*Parameters!$B$9^2/G5-Parameters!$B$8^2*G5)/(Parameters!$B$9^2-Parameters!$B$8^2)</f>
        <v/>
      </c>
    </row>
    <row r="6">
      <c r="A6" s="6" t="n">
        <v>6.451320914976717</v>
      </c>
      <c r="B6" s="5" t="n">
        <v>0.8173237094491017</v>
      </c>
      <c r="C6" s="5" t="n">
        <v>0.03484172029769488</v>
      </c>
      <c r="D6" s="13" t="n">
        <v>60</v>
      </c>
      <c r="E6" s="5">
        <f>'Fit summary'!B5*(Parameters!$B$8^2*Parameters!$B$9^2/A6-Parameters!$B$8^2*A6)/(Parameters!$B$9^2-Parameters!$B$8^2)</f>
        <v/>
      </c>
      <c r="G6" s="6" t="n">
        <v>6.986281940448903</v>
      </c>
      <c r="H6" s="5" t="n">
        <v>1.595603358153314</v>
      </c>
      <c r="I6" s="5" t="n">
        <v>0.06976266608373727</v>
      </c>
      <c r="J6" s="13" t="n">
        <v>60</v>
      </c>
      <c r="K6" s="5">
        <f>'Fit summary'!C5*(Parameters!$B$8^2*Parameters!$B$9^2/G6-Parameters!$B$8^2*G6)/(Parameters!$B$9^2-Parameters!$B$8^2)</f>
        <v/>
      </c>
    </row>
    <row r="7">
      <c r="A7" s="6" t="n">
        <v>6.821488620839405</v>
      </c>
      <c r="B7" s="5" t="n">
        <v>0.7230527394198653</v>
      </c>
      <c r="C7" s="5" t="n">
        <v>0.03180299176136585</v>
      </c>
      <c r="D7" s="13" t="n">
        <v>63</v>
      </c>
      <c r="E7" s="5">
        <f>'Fit summary'!B5*(Parameters!$B$8^2*Parameters!$B$9^2/A7-Parameters!$B$8^2*A7)/(Parameters!$B$9^2-Parameters!$B$8^2)</f>
        <v/>
      </c>
      <c r="G7" s="6" t="n">
        <v>7.349461161719664</v>
      </c>
      <c r="H7" s="5" t="n">
        <v>1.384307301104246</v>
      </c>
      <c r="I7" s="5" t="n">
        <v>0.08723017789354663</v>
      </c>
      <c r="J7" s="13" t="n">
        <v>68</v>
      </c>
      <c r="K7" s="5">
        <f>'Fit summary'!C5*(Parameters!$B$8^2*Parameters!$B$9^2/G7-Parameters!$B$8^2*G7)/(Parameters!$B$9^2-Parameters!$B$8^2)</f>
        <v/>
      </c>
    </row>
    <row r="8">
      <c r="A8" s="6" t="n">
        <v>7.183195789847958</v>
      </c>
      <c r="B8" s="5" t="n">
        <v>0.6378325064023418</v>
      </c>
      <c r="C8" s="5" t="n">
        <v>0.03099792061618207</v>
      </c>
      <c r="D8" s="13" t="n">
        <v>73</v>
      </c>
      <c r="E8" s="5">
        <f>'Fit summary'!B5*(Parameters!$B$8^2*Parameters!$B$9^2/A8-Parameters!$B$8^2*A8)/(Parameters!$B$9^2-Parameters!$B$8^2)</f>
        <v/>
      </c>
      <c r="G8" s="6" t="n">
        <v>7.709323357963527</v>
      </c>
      <c r="H8" s="5" t="n">
        <v>1.189451415660437</v>
      </c>
      <c r="I8" s="5" t="n">
        <v>0.07035719426631802</v>
      </c>
      <c r="J8" s="13" t="n">
        <v>74</v>
      </c>
      <c r="K8" s="5">
        <f>'Fit summary'!C5*(Parameters!$B$8^2*Parameters!$B$9^2/G8-Parameters!$B$8^2*G8)/(Parameters!$B$9^2-Parameters!$B$8^2)</f>
        <v/>
      </c>
    </row>
    <row r="9">
      <c r="A9" s="6" t="n">
        <v>7.550967569950952</v>
      </c>
      <c r="B9" s="5" t="n">
        <v>0.5586643042462692</v>
      </c>
      <c r="C9" s="5" t="n">
        <v>0.0297985914959461</v>
      </c>
      <c r="D9" s="13" t="n">
        <v>77</v>
      </c>
      <c r="E9" s="5">
        <f>'Fit summary'!B5*(Parameters!$B$8^2*Parameters!$B$9^2/A9-Parameters!$B$8^2*A9)/(Parameters!$B$9^2-Parameters!$B$8^2)</f>
        <v/>
      </c>
      <c r="G9" s="6" t="n">
        <v>8.061772774958106</v>
      </c>
      <c r="H9" s="5" t="n">
        <v>1.025106981749281</v>
      </c>
      <c r="I9" s="5" t="n">
        <v>0.06413345866695667</v>
      </c>
      <c r="J9" s="13" t="n">
        <v>70</v>
      </c>
      <c r="K9" s="5">
        <f>'Fit summary'!C5*(Parameters!$B$8^2*Parameters!$B$9^2/G9-Parameters!$B$8^2*G9)/(Parameters!$B$9^2-Parameters!$B$8^2)</f>
        <v/>
      </c>
    </row>
    <row r="10">
      <c r="A10" s="6" t="n">
        <v>7.92066780704815</v>
      </c>
      <c r="B10" s="5" t="n">
        <v>0.482002782762276</v>
      </c>
      <c r="C10" s="5" t="n">
        <v>0.02501722601026795</v>
      </c>
      <c r="D10" s="13" t="n">
        <v>75</v>
      </c>
      <c r="E10" s="5">
        <f>'Fit summary'!B5*(Parameters!$B$8^2*Parameters!$B$9^2/A10-Parameters!$B$8^2*A10)/(Parameters!$B$9^2-Parameters!$B$8^2)</f>
        <v/>
      </c>
      <c r="G10" s="6" t="n">
        <v>8.402355314422891</v>
      </c>
      <c r="H10" s="5" t="n">
        <v>0.8789342459891381</v>
      </c>
      <c r="I10" s="5" t="n">
        <v>0.05994550985753493</v>
      </c>
      <c r="J10" s="13" t="n">
        <v>70</v>
      </c>
      <c r="K10" s="5">
        <f>'Fit summary'!C5*(Parameters!$B$8^2*Parameters!$B$9^2/G10-Parameters!$B$8^2*G10)/(Parameters!$B$9^2-Parameters!$B$8^2)</f>
        <v/>
      </c>
    </row>
    <row r="11">
      <c r="A11" s="6" t="n">
        <v>8.275349872605174</v>
      </c>
      <c r="B11" s="5" t="n">
        <v>0.4165402858598448</v>
      </c>
      <c r="C11" s="5" t="n">
        <v>0.02293748631779077</v>
      </c>
      <c r="D11" s="13" t="n">
        <v>71</v>
      </c>
      <c r="E11" s="5">
        <f>'Fit summary'!B5*(Parameters!$B$8^2*Parameters!$B$9^2/A11-Parameters!$B$8^2*A11)/(Parameters!$B$9^2-Parameters!$B$8^2)</f>
        <v/>
      </c>
      <c r="G11" s="6" t="n">
        <v>8.762735405358876</v>
      </c>
      <c r="H11" s="5" t="n">
        <v>0.7318978285394272</v>
      </c>
      <c r="I11" s="5" t="n">
        <v>0.05503088565491861</v>
      </c>
      <c r="J11" s="13" t="n">
        <v>76</v>
      </c>
      <c r="K11" s="5">
        <f>'Fit summary'!C5*(Parameters!$B$8^2*Parameters!$B$9^2/G11-Parameters!$B$8^2*G11)/(Parameters!$B$9^2-Parameters!$B$8^2)</f>
        <v/>
      </c>
    </row>
    <row r="12">
      <c r="A12" s="6" t="n">
        <v>8.637291378822285</v>
      </c>
      <c r="B12" s="5" t="n">
        <v>0.3499943364446554</v>
      </c>
      <c r="C12" s="5" t="n">
        <v>0.02202512260161481</v>
      </c>
      <c r="D12" s="13" t="n">
        <v>77</v>
      </c>
      <c r="E12" s="5">
        <f>'Fit summary'!B5*(Parameters!$B$8^2*Parameters!$B$9^2/A12-Parameters!$B$8^2*A12)/(Parameters!$B$9^2-Parameters!$B$8^2)</f>
        <v/>
      </c>
      <c r="G12" s="6" t="n">
        <v>9.133006820589184</v>
      </c>
      <c r="H12" s="5" t="n">
        <v>0.5908915106818224</v>
      </c>
      <c r="I12" s="5" t="n">
        <v>0.04777861126020765</v>
      </c>
      <c r="J12" s="13" t="n">
        <v>74</v>
      </c>
      <c r="K12" s="5">
        <f>'Fit summary'!C5*(Parameters!$B$8^2*Parameters!$B$9^2/G12-Parameters!$B$8^2*G12)/(Parameters!$B$9^2-Parameters!$B$8^2)</f>
        <v/>
      </c>
    </row>
    <row r="13">
      <c r="A13" s="6" t="n">
        <v>9.013025402480062</v>
      </c>
      <c r="B13" s="5" t="n">
        <v>0.2863525076085701</v>
      </c>
      <c r="C13" s="5" t="n">
        <v>0.02007515418001589</v>
      </c>
      <c r="D13" s="13" t="n">
        <v>76</v>
      </c>
      <c r="E13" s="5">
        <f>'Fit summary'!B5*(Parameters!$B$8^2*Parameters!$B$9^2/A13-Parameters!$B$8^2*A13)/(Parameters!$B$9^2-Parameters!$B$8^2)</f>
        <v/>
      </c>
      <c r="G13" s="6" t="n">
        <v>9.491885588018549</v>
      </c>
      <c r="H13" s="5" t="n">
        <v>0.4604417001615102</v>
      </c>
      <c r="I13" s="5" t="n">
        <v>0.03897737344957045</v>
      </c>
      <c r="J13" s="13" t="n">
        <v>71</v>
      </c>
      <c r="K13" s="5">
        <f>'Fit summary'!C5*(Parameters!$B$8^2*Parameters!$B$9^2/G13-Parameters!$B$8^2*G13)/(Parameters!$B$9^2-Parameters!$B$8^2)</f>
        <v/>
      </c>
    </row>
    <row r="14">
      <c r="A14" s="6" t="n">
        <v>9.384748551394875</v>
      </c>
      <c r="B14" s="5" t="n">
        <v>0.2284388436413563</v>
      </c>
      <c r="C14" s="5" t="n">
        <v>0.01987444714705046</v>
      </c>
      <c r="D14" s="13" t="n">
        <v>75</v>
      </c>
      <c r="E14" s="5">
        <f>'Fit summary'!B5*(Parameters!$B$8^2*Parameters!$B$9^2/A14-Parameters!$B$8^2*A14)/(Parameters!$B$9^2-Parameters!$B$8^2)</f>
        <v/>
      </c>
      <c r="G14" s="6" t="n">
        <v>9.847767157199621</v>
      </c>
      <c r="H14" s="5" t="n">
        <v>0.3512316784034676</v>
      </c>
      <c r="I14" s="5" t="n">
        <v>0.03987118787327626</v>
      </c>
      <c r="J14" s="13" t="n">
        <v>73</v>
      </c>
      <c r="K14" s="5">
        <f>'Fit summary'!C5*(Parameters!$B$8^2*Parameters!$B$9^2/G14-Parameters!$B$8^2*G14)/(Parameters!$B$9^2-Parameters!$B$8^2)</f>
        <v/>
      </c>
    </row>
    <row r="15">
      <c r="A15" s="6" t="n">
        <v>9.754995543683249</v>
      </c>
      <c r="B15" s="5" t="n">
        <v>0.1724948402606171</v>
      </c>
      <c r="C15" s="5" t="n">
        <v>0.02073843099022149</v>
      </c>
      <c r="D15" s="13" t="n">
        <v>75</v>
      </c>
      <c r="E15" s="5">
        <f>'Fit summary'!B5*(Parameters!$B$8^2*Parameters!$B$9^2/A15-Parameters!$B$8^2*A15)/(Parameters!$B$9^2-Parameters!$B$8^2)</f>
        <v/>
      </c>
      <c r="G15" s="6" t="n">
        <v>10.19533398720423</v>
      </c>
      <c r="H15" s="5" t="n">
        <v>0.2354463752809994</v>
      </c>
      <c r="I15" s="5" t="n">
        <v>0.03876193647157607</v>
      </c>
      <c r="J15" s="13" t="n">
        <v>68</v>
      </c>
      <c r="K15" s="5">
        <f>'Fit summary'!C5*(Parameters!$B$8^2*Parameters!$B$9^2/G15-Parameters!$B$8^2*G15)/(Parameters!$B$9^2-Parameters!$B$8^2)</f>
        <v/>
      </c>
    </row>
    <row r="16">
      <c r="A16" s="6" t="n">
        <v>10.12309327348123</v>
      </c>
      <c r="B16" s="5" t="n">
        <v>0.118950786942467</v>
      </c>
      <c r="C16" s="5" t="n">
        <v>0.02189135549433896</v>
      </c>
      <c r="D16" s="13" t="n">
        <v>74</v>
      </c>
      <c r="E16" s="5">
        <f>'Fit summary'!B5*(Parameters!$B$8^2*Parameters!$B$9^2/A16-Parameters!$B$8^2*A16)/(Parameters!$B$9^2-Parameters!$B$8^2)</f>
        <v/>
      </c>
      <c r="G16" s="6" t="n">
        <v>10.54533098672144</v>
      </c>
      <c r="H16" s="5" t="n">
        <v>0.1187164648290655</v>
      </c>
      <c r="I16" s="5" t="n">
        <v>0.04660825141868644</v>
      </c>
      <c r="J16" s="13" t="n">
        <v>73</v>
      </c>
      <c r="K16" s="5">
        <f>'Fit summary'!C5*(Parameters!$B$8^2*Parameters!$B$9^2/G16-Parameters!$B$8^2*G16)/(Parameters!$B$9^2-Parameters!$B$8^2)</f>
        <v/>
      </c>
    </row>
    <row r="17">
      <c r="A17" s="6" t="n">
        <v>10.46975230671035</v>
      </c>
      <c r="B17" s="5" t="n">
        <v>0.07304624410287387</v>
      </c>
      <c r="C17" s="5" t="n">
        <v>0.01927609585188035</v>
      </c>
      <c r="D17" s="13" t="n">
        <v>66</v>
      </c>
      <c r="E17" s="5">
        <f>'Fit summary'!B5*(Parameters!$B$8^2*Parameters!$B$9^2/A17-Parameters!$B$8^2*A17)/(Parameters!$B$9^2-Parameters!$B$8^2)</f>
        <v/>
      </c>
      <c r="G17" s="6" t="n">
        <v>10.90895215109027</v>
      </c>
      <c r="H17" s="5" t="n">
        <v>0.05950632634636309</v>
      </c>
      <c r="I17" s="5" t="n">
        <v>0.0311000177453872</v>
      </c>
      <c r="J17" s="13" t="n">
        <v>73</v>
      </c>
      <c r="K17" s="5">
        <f>'Fit summary'!C5*(Parameters!$B$8^2*Parameters!$B$9^2/G17-Parameters!$B$8^2*G17)/(Parameters!$B$9^2-Parameters!$B$8^2)</f>
        <v/>
      </c>
    </row>
    <row r="18">
      <c r="A18" s="6" t="n">
        <v>10.81258121042834</v>
      </c>
      <c r="B18" s="5" t="n">
        <v>0.04444436765034487</v>
      </c>
      <c r="C18" s="5" t="n">
        <v>0.01203822369383999</v>
      </c>
      <c r="D18" s="13" t="n">
        <v>24</v>
      </c>
      <c r="E18" s="5">
        <f>'Fit summary'!B5*(Parameters!$B$8^2*Parameters!$B$9^2/A18-Parameters!$B$8^2*A18)/(Parameters!$B$9^2-Parameters!$B$8^2)</f>
        <v/>
      </c>
      <c r="G18" s="6" t="n">
        <v>11.23118352945504</v>
      </c>
      <c r="H18" s="5" t="n">
        <v>0.04483079339580521</v>
      </c>
      <c r="I18" s="5" t="n">
        <v>0.08241412901028915</v>
      </c>
      <c r="J18" s="13" t="n">
        <v>35</v>
      </c>
      <c r="K18" s="5">
        <f>'Fit summary'!C5*(Parameters!$B$8^2*Parameters!$B$9^2/G18-Parameters!$B$8^2*G18)/(Parameters!$B$9^2-Parameters!$B$8^2)</f>
        <v/>
      </c>
    </row>
    <row r="19">
      <c r="A19" s="6" t="n">
        <v>11.15770631310161</v>
      </c>
      <c r="B19" s="5" t="n">
        <v>0.03116895154827441</v>
      </c>
      <c r="C19" s="5" t="n">
        <v>0.007840083549743889</v>
      </c>
      <c r="D19" s="13" t="n">
        <v>9</v>
      </c>
      <c r="E19" s="5">
        <f>'Fit summary'!B5*(Parameters!$B$8^2*Parameters!$B$9^2/A19-Parameters!$B$8^2*A19)/(Parameters!$B$9^2-Parameters!$B$8^2)</f>
        <v/>
      </c>
      <c r="G19" s="6" t="n">
        <v>11.58757745336954</v>
      </c>
      <c r="H19" s="5" t="n">
        <v>0.1105591799707707</v>
      </c>
      <c r="I19" s="5" t="n">
        <v>0.1053787208001726</v>
      </c>
      <c r="J19" s="13" t="n">
        <v>8</v>
      </c>
      <c r="K19" s="5">
        <f>'Fit summary'!C5*(Parameters!$B$8^2*Parameters!$B$9^2/G19-Parameters!$B$8^2*G19)/(Parameters!$B$9^2-Parameters!$B$8^2)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12" customWidth="1" min="4" max="4"/>
    <col width="12" customWidth="1" min="5" max="5"/>
  </cols>
  <sheetData>
    <row r="1">
      <c r="A1" s="10" t="inlineStr">
        <is>
          <t>Couette fit u = A·r + B/r (ω_eff and radial shift fitted)</t>
        </is>
      </c>
    </row>
    <row r="3">
      <c r="A3" s="2" t="inlineStr">
        <is>
          <t>Quantity</t>
        </is>
      </c>
      <c r="B3" s="2" t="inlineStr">
        <is>
          <t>Run 1</t>
        </is>
      </c>
      <c r="C3" s="2" t="inlineStr">
        <is>
          <t>Run 2</t>
        </is>
      </c>
      <c r="D3" s="2" t="inlineStr">
        <is>
          <t>Unit</t>
        </is>
      </c>
    </row>
    <row r="4">
      <c r="A4" s="3" t="inlineStr">
        <is>
          <t>Set ω</t>
        </is>
      </c>
      <c r="B4" s="5">
        <f>Parameters!C17</f>
        <v/>
      </c>
      <c r="C4" s="5">
        <f>Parameters!C18</f>
        <v/>
      </c>
      <c r="D4" s="3" t="inlineStr">
        <is>
          <t>rad/s</t>
        </is>
      </c>
    </row>
    <row r="5">
      <c r="A5" s="3" t="inlineStr">
        <is>
          <t>Averaged-field fitted ω_eff</t>
        </is>
      </c>
      <c r="B5" s="5" t="n">
        <v>0.155777710044191</v>
      </c>
      <c r="C5" s="5" t="n">
        <v>0.3504177507530832</v>
      </c>
      <c r="D5" s="3" t="inlineStr">
        <is>
          <t>rad/s</t>
        </is>
      </c>
    </row>
    <row r="6">
      <c r="A6" s="14" t="inlineStr">
        <is>
          <t>Block-mean ω_eff (used for μ)</t>
        </is>
      </c>
      <c r="B6" s="15">
        <f>AVERAGE(B22:B25)</f>
        <v/>
      </c>
      <c r="C6" s="15">
        <f>AVERAGE(C22:C25)</f>
        <v/>
      </c>
      <c r="D6" s="3" t="inlineStr">
        <is>
          <t>rad/s</t>
        </is>
      </c>
    </row>
    <row r="7">
      <c r="A7" s="3" t="inlineStr">
        <is>
          <t>Block SD of ω_eff</t>
        </is>
      </c>
      <c r="B7" s="5">
        <f>STDEV(B22:B25)</f>
        <v/>
      </c>
      <c r="C7" s="5">
        <f>STDEV(C22:C25)</f>
        <v/>
      </c>
      <c r="D7" s="3" t="inlineStr">
        <is>
          <t>rad/s</t>
        </is>
      </c>
    </row>
    <row r="8">
      <c r="A8" s="3" t="inlineStr">
        <is>
          <t>SD / mean</t>
        </is>
      </c>
      <c r="B8" s="7">
        <f>B7/B6*100</f>
        <v/>
      </c>
      <c r="C8" s="7">
        <f>C7/C6*100</f>
        <v/>
      </c>
      <c r="D8" s="3" t="inlineStr">
        <is>
          <t>%</t>
        </is>
      </c>
    </row>
    <row r="9">
      <c r="A9" s="3" t="inlineStr">
        <is>
          <t>ω_eff / ω_set</t>
        </is>
      </c>
      <c r="B9" s="6">
        <f>B6/B4</f>
        <v/>
      </c>
      <c r="C9" s="6">
        <f>C6/C4</f>
        <v/>
      </c>
      <c r="D9" s="3" t="inlineStr">
        <is>
          <t>–</t>
        </is>
      </c>
    </row>
    <row r="10">
      <c r="A10" s="3" t="inlineStr">
        <is>
          <t>Drift over run (linear fit)</t>
        </is>
      </c>
      <c r="B10" s="7">
        <f>SLOPE(B22:B25,$A$22:$A$25)*3/B6*100</f>
        <v/>
      </c>
      <c r="C10" s="7">
        <f>SLOPE(C22:C25,$A$22:$A$25)*3/C6*100</f>
        <v/>
      </c>
      <c r="D10" s="3" t="inlineStr">
        <is>
          <t>% of mean</t>
        </is>
      </c>
    </row>
    <row r="11">
      <c r="A11" s="3" t="inlineStr">
        <is>
          <t>Fitted ω_eff</t>
        </is>
      </c>
      <c r="B11" s="6">
        <f>B6*60/(2*PI())</f>
        <v/>
      </c>
      <c r="C11" s="6">
        <f>C6*60/(2*PI())</f>
        <v/>
      </c>
      <c r="D11" s="3" t="inlineStr">
        <is>
          <t>rpm</t>
        </is>
      </c>
    </row>
    <row r="12">
      <c r="A12" s="3" t="inlineStr">
        <is>
          <t>Inner-wall speed, set</t>
        </is>
      </c>
      <c r="B12" s="6">
        <f>B4*Parameters!$B$8</f>
        <v/>
      </c>
      <c r="C12" s="6">
        <f>C4*Parameters!$B$8</f>
        <v/>
      </c>
      <c r="D12" s="3" t="inlineStr">
        <is>
          <t>mm/s</t>
        </is>
      </c>
    </row>
    <row r="13">
      <c r="A13" s="3" t="inlineStr">
        <is>
          <t>Inner-wall speed, fitted</t>
        </is>
      </c>
      <c r="B13" s="6">
        <f>B6*Parameters!$B$8</f>
        <v/>
      </c>
      <c r="C13" s="6">
        <f>C6*Parameters!$B$8</f>
        <v/>
      </c>
      <c r="D13" s="3" t="inlineStr">
        <is>
          <t>mm/s</t>
        </is>
      </c>
    </row>
    <row r="14">
      <c r="A14" s="3" t="inlineStr">
        <is>
          <t>Radial shift</t>
        </is>
      </c>
      <c r="B14" s="6" t="n">
        <v>-1.368166578544523</v>
      </c>
      <c r="C14" s="6" t="n">
        <v>-1.46257474033739</v>
      </c>
      <c r="D14" s="3" t="inlineStr">
        <is>
          <t>mm</t>
        </is>
      </c>
    </row>
    <row r="15">
      <c r="A15" s="3" t="inlineStr">
        <is>
          <t>Couette fit R² (averaged field)</t>
        </is>
      </c>
      <c r="B15" s="5" t="n">
        <v>0.995693754162967</v>
      </c>
      <c r="C15" s="5" t="n">
        <v>0.9788317727394084</v>
      </c>
      <c r="D15" s="3" t="inlineStr">
        <is>
          <t>–</t>
        </is>
      </c>
    </row>
    <row r="16">
      <c r="A16" s="3" t="inlineStr">
        <is>
          <t>Couette fit RMSE (averaged field)</t>
        </is>
      </c>
      <c r="B16" s="5" t="n">
        <v>0.01655540353873401</v>
      </c>
      <c r="C16" s="5" t="n">
        <v>0.07364981429599154</v>
      </c>
      <c r="D16" s="3" t="inlineStr">
        <is>
          <t>mm/s</t>
        </is>
      </c>
    </row>
    <row r="17">
      <c r="A17" s="3" t="inlineStr">
        <is>
          <t>Vectors used (averaged field)</t>
        </is>
      </c>
      <c r="B17" s="13" t="n">
        <v>936</v>
      </c>
      <c r="C17" s="13" t="n">
        <v>927</v>
      </c>
      <c r="D17" s="3" t="inlineStr">
        <is>
          <t>–</t>
        </is>
      </c>
    </row>
    <row r="20">
      <c r="A20" s="10" t="inlineStr">
        <is>
          <t>Time-block fits (drift check: leaks)</t>
        </is>
      </c>
    </row>
    <row r="21">
      <c r="A21" s="2" t="inlineStr">
        <is>
          <t>Block</t>
        </is>
      </c>
      <c r="B21" s="2" t="inlineStr">
        <is>
          <t>Run 1 ω_eff [rad/s]</t>
        </is>
      </c>
      <c r="C21" s="2" t="inlineStr">
        <is>
          <t>Run 2 ω_eff [rad/s]</t>
        </is>
      </c>
      <c r="D21" s="2" t="inlineStr">
        <is>
          <t>Run 1 R²</t>
        </is>
      </c>
      <c r="E21" s="2" t="inlineStr">
        <is>
          <t>Run 2 R²</t>
        </is>
      </c>
    </row>
    <row r="22">
      <c r="A22" s="3" t="n">
        <v>0</v>
      </c>
      <c r="B22" s="5" t="n">
        <v>0.1459210045058799</v>
      </c>
      <c r="C22" s="5" t="n">
        <v>0.3214795461383546</v>
      </c>
      <c r="D22" s="6" t="n">
        <v>0.9930933038141838</v>
      </c>
      <c r="E22" s="6" t="n">
        <v>0.9041306523902842</v>
      </c>
    </row>
    <row r="23">
      <c r="A23" s="3" t="n">
        <v>1</v>
      </c>
      <c r="B23" s="5" t="n">
        <v>0.1601977356759156</v>
      </c>
      <c r="C23" s="5" t="n">
        <v>0.3200051038649135</v>
      </c>
      <c r="D23" s="6" t="n">
        <v>0.9619680912042868</v>
      </c>
      <c r="E23" s="6" t="n">
        <v>0.9409079523771215</v>
      </c>
    </row>
    <row r="24">
      <c r="A24" s="3" t="n">
        <v>2</v>
      </c>
      <c r="B24" s="5" t="n">
        <v>0.1533470275540851</v>
      </c>
      <c r="C24" s="5" t="n">
        <v>0.3366970967967723</v>
      </c>
      <c r="D24" s="6" t="n">
        <v>0.9389826829880286</v>
      </c>
      <c r="E24" s="6" t="n">
        <v>0.918539617421943</v>
      </c>
    </row>
    <row r="25">
      <c r="A25" s="3" t="n">
        <v>3</v>
      </c>
      <c r="B25" s="5" t="n">
        <v>0.1340913721942084</v>
      </c>
      <c r="C25" s="5" t="n">
        <v>0.3195372868351649</v>
      </c>
      <c r="D25" s="6" t="n">
        <v>0.9564601069703983</v>
      </c>
      <c r="E25" s="6" t="n">
        <v>0.9388124759417882</v>
      </c>
    </row>
    <row r="27">
      <c r="A27" s="12" t="inlineStr">
        <is>
          <t>Block 0..3 = successive quarters of each run. Run 1: 1000-frame blocks; run 2: 625-frame blocks. Drift = slope × 3 blocks / mean.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0" customWidth="1" min="4" max="4"/>
  </cols>
  <sheetData>
    <row r="1">
      <c r="A1" s="16" t="inlineStr">
        <is>
          <t>Couette fit, linear regression and u_θ/Ω collapse</t>
        </is>
      </c>
    </row>
    <row r="3">
      <c r="A3" s="2" t="inlineStr">
        <is>
          <t>Quantity</t>
        </is>
      </c>
      <c r="B3" s="2" t="inlineStr">
        <is>
          <t>Run 1</t>
        </is>
      </c>
      <c r="C3" s="2" t="inlineStr">
        <is>
          <t>Run 2</t>
        </is>
      </c>
      <c r="D3" s="2" t="inlineStr">
        <is>
          <t>Unit</t>
        </is>
      </c>
    </row>
    <row r="4">
      <c r="A4" s="3" t="inlineStr">
        <is>
          <t>Couette fit R²</t>
        </is>
      </c>
      <c r="B4" s="5" t="n">
        <v>0.995693754162967</v>
      </c>
      <c r="C4" s="5" t="n">
        <v>0.9788317727394084</v>
      </c>
      <c r="D4" s="3" t="inlineStr">
        <is>
          <t>–</t>
        </is>
      </c>
    </row>
    <row r="5">
      <c r="A5" s="3" t="inlineStr">
        <is>
          <t>Couette fit RMSE</t>
        </is>
      </c>
      <c r="B5" s="5" t="n">
        <v>0.01655540353873401</v>
      </c>
      <c r="C5" s="5" t="n">
        <v>0.07364981429599154</v>
      </c>
      <c r="D5" s="3" t="inlineStr">
        <is>
          <t>mm/s</t>
        </is>
      </c>
    </row>
    <row r="6">
      <c r="A6" s="3" t="inlineStr">
        <is>
          <t>Linear fit R² (u = a + b r)</t>
        </is>
      </c>
      <c r="B6" s="5" t="n">
        <v>0.9813015559116908</v>
      </c>
      <c r="C6" s="5" t="n">
        <v>0.9666044163146682</v>
      </c>
      <c r="D6" s="3" t="inlineStr">
        <is>
          <t>–</t>
        </is>
      </c>
    </row>
    <row r="7">
      <c r="A7" s="3" t="inlineStr">
        <is>
          <t>Linear fit RMSE</t>
        </is>
      </c>
      <c r="B7" s="5" t="n">
        <v>0.03449793475595388</v>
      </c>
      <c r="C7" s="5" t="n">
        <v>0.09250685805557197</v>
      </c>
      <c r="D7" s="3" t="inlineStr">
        <is>
          <t>mm/s</t>
        </is>
      </c>
    </row>
    <row r="8">
      <c r="A8" s="3" t="inlineStr">
        <is>
          <t>Linear slope b</t>
        </is>
      </c>
      <c r="B8" s="5" t="n">
        <v>-0.1828148828244649</v>
      </c>
      <c r="C8" s="5" t="n">
        <v>-0.3699208733483166</v>
      </c>
      <c r="D8" s="3" t="inlineStr">
        <is>
          <t>1/s</t>
        </is>
      </c>
    </row>
    <row r="9">
      <c r="A9" s="3" t="inlineStr">
        <is>
          <t>Linear intercept a</t>
        </is>
      </c>
      <c r="B9" s="6" t="n">
        <v>1.958165515294685</v>
      </c>
      <c r="C9" s="6" t="n">
        <v>4.036874802438675</v>
      </c>
      <c r="D9" s="3" t="inlineStr">
        <is>
          <t>mm/s</t>
        </is>
      </c>
    </row>
    <row r="10">
      <c r="A10" s="3" t="inlineStr">
        <is>
          <t>Linear RMSE / Couette RMSE</t>
        </is>
      </c>
      <c r="B10" s="4">
        <f>B7/B5</f>
        <v/>
      </c>
      <c r="C10" s="4">
        <f>C7/C5</f>
        <v/>
      </c>
      <c r="D10" s="3" t="inlineStr">
        <is>
          <t>–</t>
        </is>
      </c>
    </row>
    <row r="11">
      <c r="A11" s="3" t="inlineStr">
        <is>
          <t>Set Ω</t>
        </is>
      </c>
      <c r="B11" s="5">
        <f>'Fit summary'!B4</f>
        <v/>
      </c>
      <c r="C11" s="5">
        <f>'Fit summary'!C4</f>
        <v/>
      </c>
      <c r="D11" s="3" t="inlineStr">
        <is>
          <t>rad/s</t>
        </is>
      </c>
    </row>
    <row r="12">
      <c r="A12" s="3" t="inlineStr">
        <is>
          <t>Fitted ω_eff, own radial shift</t>
        </is>
      </c>
      <c r="B12" s="5" t="n">
        <v>0.155777710044191</v>
      </c>
      <c r="C12" s="5" t="n">
        <v>0.3504177507530832</v>
      </c>
      <c r="D12" s="3" t="inlineStr">
        <is>
          <t>rad/s</t>
        </is>
      </c>
    </row>
    <row r="13">
      <c r="A13" s="3" t="inlineStr">
        <is>
          <t>Fitted ω_eff, shared radial shift</t>
        </is>
      </c>
      <c r="B13" s="5" t="n">
        <v>0.1512433024211065</v>
      </c>
      <c r="C13" s="5" t="n">
        <v>0.3529035695478593</v>
      </c>
      <c r="D13" s="3" t="inlineStr">
        <is>
          <t>rad/s</t>
        </is>
      </c>
    </row>
    <row r="14">
      <c r="A14" s="3" t="inlineStr">
        <is>
          <t>ω_eff / Ω_set (own shift)</t>
        </is>
      </c>
      <c r="B14" s="6">
        <f>B12/B11</f>
        <v/>
      </c>
      <c r="C14" s="6">
        <f>C12/C11</f>
        <v/>
      </c>
      <c r="D14" s="3" t="inlineStr">
        <is>
          <t>–</t>
        </is>
      </c>
    </row>
    <row r="15">
      <c r="A15" s="3" t="inlineStr">
        <is>
          <t>Shared radial shift</t>
        </is>
      </c>
      <c r="B15" s="4" t="n">
        <v>-1.446610460631598</v>
      </c>
      <c r="D15" s="3" t="inlineStr">
        <is>
          <t>mm</t>
        </is>
      </c>
    </row>
    <row r="16">
      <c r="A16" s="3" t="inlineStr">
        <is>
          <t>Collapse rms spread, u/Ω_set</t>
        </is>
      </c>
      <c r="B16" s="7" t="n">
        <v>15.56533615266801</v>
      </c>
      <c r="D16" s="3" t="inlineStr">
        <is>
          <t>%</t>
        </is>
      </c>
    </row>
    <row r="17">
      <c r="A17" s="3" t="inlineStr">
        <is>
          <t>Collapse rms spread, u/ω_eff</t>
        </is>
      </c>
      <c r="B17" s="7" t="n">
        <v>3.239952971569014</v>
      </c>
      <c r="D17" s="3" t="inlineStr">
        <is>
          <t>%</t>
        </is>
      </c>
    </row>
    <row r="19">
      <c r="A19" s="8" t="inlineStr">
        <is>
          <t>Linear check: the gap is 5 mm against R1 = 6 mm (gap/R1 ≈ 0.8), so it is not a narrow gap and the exact profile is curved; a straight line is a worse fit than the Couette form (higher RMSE). Collapse: spread is the rms difference between the two runs' u/Ω on r = 7 to 11 mm divided by mean u/Ω.</t>
        </is>
      </c>
    </row>
    <row r="20"/>
    <row r="21"/>
    <row r="22"/>
    <row r="23"/>
  </sheetData>
  <mergeCells count="1">
    <mergeCell ref="A19:D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u_θ(r)/Ω collapse of the two runs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2026-10-15T04:20:28Z</dcterms:created>
  <dcterms:modified xsi:type="dcterms:W3CDTF">2026-10-15T04:20:29Z</dcterms:modified>
</cp:coreProperties>
</file>